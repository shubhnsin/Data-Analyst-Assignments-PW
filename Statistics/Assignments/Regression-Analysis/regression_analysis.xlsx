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va\Desktop\"/>
    </mc:Choice>
  </mc:AlternateContent>
  <xr:revisionPtr revIDLastSave="0" documentId="13_ncr:1_{0CAFF345-32E7-4DB3-97A4-4FE2CE6EDA0F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Day1_to_Day3_Regression" sheetId="1" r:id="rId1"/>
    <sheet name="Day4_Outliers" sheetId="2" r:id="rId2"/>
    <sheet name="Day5_Housing_Pri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/>
  <c r="G3" i="1"/>
  <c r="C3" i="1" s="1"/>
  <c r="D3" i="1" s="1"/>
  <c r="F3" i="1"/>
  <c r="D4" i="3"/>
  <c r="C7" i="1" l="1"/>
  <c r="D7" i="1" s="1"/>
  <c r="C4" i="1"/>
  <c r="D4" i="1" s="1"/>
  <c r="C5" i="1"/>
  <c r="D5" i="1" s="1"/>
  <c r="C6" i="1"/>
  <c r="D6" i="1" s="1"/>
</calcChain>
</file>

<file path=xl/sharedStrings.xml><?xml version="1.0" encoding="utf-8"?>
<sst xmlns="http://schemas.openxmlformats.org/spreadsheetml/2006/main" count="22" uniqueCount="20">
  <si>
    <t>Q1–Q3 Dataset: Hours Studied vs Exam Score</t>
  </si>
  <si>
    <t>Hours_Studied</t>
  </si>
  <si>
    <t>Exam_Score</t>
  </si>
  <si>
    <t>Predicted_Score</t>
  </si>
  <si>
    <t>Residual</t>
  </si>
  <si>
    <t>Slope</t>
  </si>
  <si>
    <t>Intercept</t>
  </si>
  <si>
    <t>R²</t>
  </si>
  <si>
    <t>MSE</t>
  </si>
  <si>
    <t>Q4 Dataset with Outlier</t>
  </si>
  <si>
    <t>Q5 Dataset: House Size vs Price</t>
  </si>
  <si>
    <t>House_Size_sqft</t>
  </si>
  <si>
    <t>Price</t>
  </si>
  <si>
    <t>Predicted Price (1000 sq ft)</t>
  </si>
  <si>
    <t>[ =SLOPE(B3:B7,A3:A7) ]</t>
  </si>
  <si>
    <t>[ =INTERCEPT(B3:B7,A3:A7) ]</t>
  </si>
  <si>
    <t>[ =AVERAGE(@D3:D7^2) ]</t>
  </si>
  <si>
    <t>[ =RSQ(B3:B7,A3:A7) ]</t>
  </si>
  <si>
    <t>Predicted Score = Slope*Hours_studied + Intercept</t>
  </si>
  <si>
    <t>Residual = Exam_Score - Predicted_Score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</si>
</sst>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 sz="1800" baseline="0"/>
              <a:t>Scatter Plot: Hours Studied vs Exam Score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Actual Scores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0.32877203703703711"/>
                  <c:y val="-3.9759862935122389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200" b="1" baseline="0"/>
                      <a:t>y = 0.6x + 2.2</a:t>
                    </a:r>
                    <a:endParaRPr lang="en-US" sz="1200" b="1"/>
                  </a:p>
                </c:rich>
              </c:tx>
              <c:numFmt formatCode="General" sourceLinked="0"/>
            </c:trendlineLbl>
          </c:trendline>
          <c:xVal>
            <c:numRef>
              <c:f>Day1_to_Day3_Regression!$A$3:$A$7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Day1_to_Day3_Regression!$B$3:$B$7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83-42E0-9568-6736799E60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 sz="1800" baseline="0"/>
              <a:t>Outlier Detection Scatter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Data Points</c:v>
          </c:tx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0.36990796296296286"/>
                  <c:y val="-2.3686581562301804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100" b="1" baseline="0"/>
                      <a:t>y = 2.0348x - 2.0432</a:t>
                    </a:r>
                    <a:endParaRPr lang="en-US" sz="1100" b="1"/>
                  </a:p>
                </c:rich>
              </c:tx>
              <c:numFmt formatCode="General" sourceLinked="0"/>
            </c:trendlineLbl>
          </c:trendline>
          <c:xVal>
            <c:numRef>
              <c:f>Day4_Outliers!$B$3:$B$8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50</c:v>
                </c:pt>
              </c:numCache>
            </c:numRef>
          </c:xVal>
          <c:yVal>
            <c:numRef>
              <c:f>Day4_Outliers!$C$3:$C$8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B-43C7-88E2-4BB9C0E4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Hours Studied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Exam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 sz="1800"/>
              <a:t>House Size vs Price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Housing Data</c:v>
          </c:tx>
          <c:spPr>
            <a:ln>
              <a:prstDash val="solid"/>
            </a:ln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0.33325555555555558"/>
                  <c:y val="-3.8577777777777777E-3"/>
                </c:manualLayout>
              </c:layout>
              <c:numFmt formatCode="General" sourceLinked="0"/>
            </c:trendlineLbl>
          </c:trendline>
          <c:xVal>
            <c:numRef>
              <c:f>Day5_Housing_Prices!$A$3:$A$7</c:f>
              <c:numCache>
                <c:formatCode>General</c:formatCode>
                <c:ptCount val="5"/>
                <c:pt idx="0">
                  <c:v>850</c:v>
                </c:pt>
                <c:pt idx="1">
                  <c:v>900</c:v>
                </c:pt>
                <c:pt idx="2">
                  <c:v>1200</c:v>
                </c:pt>
                <c:pt idx="3">
                  <c:v>1500</c:v>
                </c:pt>
                <c:pt idx="4">
                  <c:v>1800</c:v>
                </c:pt>
              </c:numCache>
            </c:numRef>
          </c:xVal>
          <c:yVal>
            <c:numRef>
              <c:f>Day5_Housing_Prices!$B$3:$B$7</c:f>
              <c:numCache>
                <c:formatCode>General</c:formatCode>
                <c:ptCount val="5"/>
                <c:pt idx="0">
                  <c:v>140000</c:v>
                </c:pt>
                <c:pt idx="1">
                  <c:v>155000</c:v>
                </c:pt>
                <c:pt idx="2">
                  <c:v>200000</c:v>
                </c:pt>
                <c:pt idx="3">
                  <c:v>250000</c:v>
                </c:pt>
                <c:pt idx="4">
                  <c:v>300000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2F-4AD7-AFA9-4755DAD5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8</xdr:row>
      <xdr:rowOff>128588</xdr:rowOff>
    </xdr:from>
    <xdr:ext cx="5400000" cy="37290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185738</xdr:colOff>
      <xdr:row>2</xdr:row>
      <xdr:rowOff>52386</xdr:rowOff>
    </xdr:from>
    <xdr:ext cx="5400000" cy="34861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204788</xdr:colOff>
      <xdr:row>6</xdr:row>
      <xdr:rowOff>138111</xdr:rowOff>
    </xdr:from>
    <xdr:ext cx="5404762" cy="3719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F4" sqref="F4"/>
    </sheetView>
  </sheetViews>
  <sheetFormatPr defaultRowHeight="14.25" x14ac:dyDescent="0.45"/>
  <cols>
    <col min="1" max="1" width="37.9296875" bestFit="1" customWidth="1"/>
    <col min="2" max="2" width="10.19921875" bestFit="1" customWidth="1"/>
    <col min="3" max="3" width="13.46484375" bestFit="1" customWidth="1"/>
    <col min="4" max="4" width="7.33203125" bestFit="1" customWidth="1"/>
    <col min="6" max="6" width="28" customWidth="1"/>
    <col min="7" max="7" width="25.265625" customWidth="1"/>
  </cols>
  <sheetData>
    <row r="1" spans="1:9" x14ac:dyDescent="0.45">
      <c r="A1" s="2" t="s">
        <v>0</v>
      </c>
      <c r="B1" s="3"/>
      <c r="C1" s="3"/>
      <c r="D1" s="3"/>
    </row>
    <row r="2" spans="1:9" x14ac:dyDescent="0.45">
      <c r="A2" s="3" t="s">
        <v>1</v>
      </c>
      <c r="B2" s="3" t="s">
        <v>2</v>
      </c>
      <c r="C2" s="3" t="s">
        <v>3</v>
      </c>
      <c r="D2" s="3" t="s">
        <v>4</v>
      </c>
      <c r="F2" s="2" t="s">
        <v>5</v>
      </c>
      <c r="G2" s="2" t="s">
        <v>6</v>
      </c>
    </row>
    <row r="3" spans="1:9" x14ac:dyDescent="0.45">
      <c r="A3" s="3">
        <v>1</v>
      </c>
      <c r="B3" s="3">
        <v>2</v>
      </c>
      <c r="C3" s="3">
        <f>$F$3*A3+$G$3</f>
        <v>2.8000000000000003</v>
      </c>
      <c r="D3" s="3">
        <f>B3-C3</f>
        <v>-0.80000000000000027</v>
      </c>
      <c r="F3" s="3">
        <f>SLOPE(B3:B7,A3:A7)</f>
        <v>0.6</v>
      </c>
      <c r="G3" s="3">
        <f>INTERCEPT(B3:B7,A3:A7)</f>
        <v>2.2000000000000002</v>
      </c>
    </row>
    <row r="4" spans="1:9" x14ac:dyDescent="0.45">
      <c r="A4" s="3">
        <v>2</v>
      </c>
      <c r="B4" s="3">
        <v>4</v>
      </c>
      <c r="C4" s="3">
        <f>$F$3*A4+$G$3</f>
        <v>3.4000000000000004</v>
      </c>
      <c r="D4" s="3">
        <f>B4-C4</f>
        <v>0.59999999999999964</v>
      </c>
      <c r="F4" s="7" t="s">
        <v>14</v>
      </c>
      <c r="G4" s="7" t="s">
        <v>15</v>
      </c>
    </row>
    <row r="5" spans="1:9" x14ac:dyDescent="0.45">
      <c r="A5" s="3">
        <v>3</v>
      </c>
      <c r="B5" s="3">
        <v>5</v>
      </c>
      <c r="C5" s="3">
        <f>$F$3*A5+$G$3</f>
        <v>4</v>
      </c>
      <c r="D5" s="3">
        <f>B5-C5</f>
        <v>1</v>
      </c>
      <c r="F5" s="2" t="s">
        <v>7</v>
      </c>
      <c r="G5" s="2" t="s">
        <v>8</v>
      </c>
    </row>
    <row r="6" spans="1:9" x14ac:dyDescent="0.45">
      <c r="A6" s="3">
        <v>4</v>
      </c>
      <c r="B6" s="3">
        <v>4</v>
      </c>
      <c r="C6" s="3">
        <f>$F$3*A6+$G$3</f>
        <v>4.5999999999999996</v>
      </c>
      <c r="D6" s="3">
        <f>B6-C6</f>
        <v>-0.59999999999999964</v>
      </c>
      <c r="F6" s="3">
        <f>RSQ(B3:B7,A3:A7)</f>
        <v>0.60000000000000009</v>
      </c>
      <c r="G6" s="3">
        <f>AVERAGE(D3:D7^2)</f>
        <v>0.3599999999999996</v>
      </c>
    </row>
    <row r="7" spans="1:9" x14ac:dyDescent="0.45">
      <c r="A7" s="3">
        <v>5</v>
      </c>
      <c r="B7" s="3">
        <v>5</v>
      </c>
      <c r="C7" s="3">
        <f>$F$3*A7+$G$3</f>
        <v>5.2</v>
      </c>
      <c r="D7" s="3">
        <f>B7-C7</f>
        <v>-0.20000000000000018</v>
      </c>
      <c r="F7" s="7" t="s">
        <v>17</v>
      </c>
      <c r="G7" s="7" t="s">
        <v>16</v>
      </c>
    </row>
    <row r="8" spans="1:9" ht="14.65" thickBot="1" x14ac:dyDescent="0.5"/>
    <row r="9" spans="1:9" ht="14.65" thickBot="1" x14ac:dyDescent="0.5">
      <c r="G9" s="4" t="s">
        <v>18</v>
      </c>
      <c r="H9" s="5"/>
      <c r="I9" s="6"/>
    </row>
    <row r="10" spans="1:9" ht="14.65" thickBot="1" x14ac:dyDescent="0.5"/>
    <row r="11" spans="1:9" ht="14.65" thickBot="1" x14ac:dyDescent="0.5">
      <c r="G11" s="4" t="s">
        <v>19</v>
      </c>
      <c r="H11" s="6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8"/>
  <sheetViews>
    <sheetView workbookViewId="0">
      <selection activeCell="N8" sqref="N8"/>
    </sheetView>
  </sheetViews>
  <sheetFormatPr defaultRowHeight="14.25" x14ac:dyDescent="0.45"/>
  <cols>
    <col min="1" max="1" width="12.19921875" customWidth="1"/>
    <col min="2" max="2" width="13.6640625" customWidth="1"/>
  </cols>
  <sheetData>
    <row r="1" spans="2:3" x14ac:dyDescent="0.45">
      <c r="B1" s="2" t="s">
        <v>9</v>
      </c>
      <c r="C1" s="3"/>
    </row>
    <row r="2" spans="2:3" x14ac:dyDescent="0.45">
      <c r="B2" s="3" t="s">
        <v>1</v>
      </c>
      <c r="C2" s="3" t="s">
        <v>2</v>
      </c>
    </row>
    <row r="3" spans="2:3" x14ac:dyDescent="0.45">
      <c r="B3" s="3">
        <v>1</v>
      </c>
      <c r="C3" s="3">
        <v>2</v>
      </c>
    </row>
    <row r="4" spans="2:3" x14ac:dyDescent="0.45">
      <c r="B4" s="3">
        <v>2</v>
      </c>
      <c r="C4" s="3">
        <v>4</v>
      </c>
    </row>
    <row r="5" spans="2:3" x14ac:dyDescent="0.45">
      <c r="B5" s="3">
        <v>3</v>
      </c>
      <c r="C5" s="3">
        <v>5</v>
      </c>
    </row>
    <row r="6" spans="2:3" x14ac:dyDescent="0.45">
      <c r="B6" s="3">
        <v>4</v>
      </c>
      <c r="C6" s="3">
        <v>4</v>
      </c>
    </row>
    <row r="7" spans="2:3" x14ac:dyDescent="0.45">
      <c r="B7" s="3">
        <v>5</v>
      </c>
      <c r="C7" s="3">
        <v>5</v>
      </c>
    </row>
    <row r="8" spans="2:3" x14ac:dyDescent="0.45">
      <c r="B8" s="3">
        <v>50</v>
      </c>
      <c r="C8" s="3">
        <v>100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O20" sqref="O20"/>
    </sheetView>
  </sheetViews>
  <sheetFormatPr defaultRowHeight="14.25" x14ac:dyDescent="0.45"/>
  <sheetData>
    <row r="1" spans="1:4" x14ac:dyDescent="0.45">
      <c r="A1" s="1" t="s">
        <v>10</v>
      </c>
    </row>
    <row r="2" spans="1:4" x14ac:dyDescent="0.45">
      <c r="A2" t="s">
        <v>11</v>
      </c>
      <c r="B2" t="s">
        <v>12</v>
      </c>
    </row>
    <row r="3" spans="1:4" x14ac:dyDescent="0.45">
      <c r="A3">
        <v>850</v>
      </c>
      <c r="B3">
        <v>140000</v>
      </c>
      <c r="D3" s="1" t="s">
        <v>13</v>
      </c>
    </row>
    <row r="4" spans="1:4" x14ac:dyDescent="0.45">
      <c r="A4">
        <v>900</v>
      </c>
      <c r="B4">
        <v>155000</v>
      </c>
      <c r="D4">
        <f xml:space="preserve"> _xlfn.FORECAST.LINEAR(1000,B3:B7,A3:A7)</f>
        <v>167750</v>
      </c>
    </row>
    <row r="5" spans="1:4" x14ac:dyDescent="0.45">
      <c r="A5">
        <v>1200</v>
      </c>
      <c r="B5">
        <v>200000</v>
      </c>
    </row>
    <row r="6" spans="1:4" x14ac:dyDescent="0.45">
      <c r="A6">
        <v>1500</v>
      </c>
      <c r="B6">
        <v>250000</v>
      </c>
    </row>
    <row r="7" spans="1:4" x14ac:dyDescent="0.45">
      <c r="A7">
        <v>1800</v>
      </c>
      <c r="B7">
        <v>300000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Day1_to_Day3_Regression</vt:lpstr>
      <vt:lpstr>Day4_Outliers</vt:lpstr>
      <vt:lpstr>Day5_Housing_Prices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YADAV</cp:lastModifiedBy>
  <dcterms:created xsi:type="dcterms:W3CDTF">2026-01-19T16:01:43Z</dcterms:created>
  <dcterms:modified xsi:type="dcterms:W3CDTF">2026-01-20T11:54:52Z</dcterms:modified>
</cp:coreProperties>
</file>